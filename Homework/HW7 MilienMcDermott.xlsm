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dent\Documents\Spring2019\ETECH100\"/>
    </mc:Choice>
  </mc:AlternateContent>
  <xr:revisionPtr revIDLastSave="0" documentId="13_ncr:1_{18EA9512-118E-490F-94BA-DB68F8264AAC}" xr6:coauthVersionLast="43" xr6:coauthVersionMax="43" xr10:uidLastSave="{00000000-0000-0000-0000-000000000000}"/>
  <bookViews>
    <workbookView xWindow="-120" yWindow="-120" windowWidth="29040" windowHeight="16440" activeTab="3" xr2:uid="{00000000-000D-0000-FFFF-FFFF00000000}"/>
  </bookViews>
  <sheets>
    <sheet name="Part 1" sheetId="1" r:id="rId1"/>
    <sheet name="Part 1 Plot" sheetId="5" r:id="rId2"/>
    <sheet name="Part 2" sheetId="6" r:id="rId3"/>
    <sheet name="Part 3" sheetId="7" r:id="rId4"/>
  </sheets>
  <functionGroups builtInGroupCount="19"/>
  <definedNames>
    <definedName name="solver_adj" localSheetId="0" hidden="1">'Part 1'!$C$17:$C$18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'Part 1'!$C$19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D3" i="6"/>
  <c r="D4" i="6"/>
  <c r="D5" i="6"/>
  <c r="D6" i="6"/>
  <c r="D7" i="6"/>
  <c r="D8" i="6"/>
  <c r="D9" i="6"/>
  <c r="D10" i="6"/>
  <c r="D11" i="6"/>
  <c r="D12" i="6"/>
  <c r="D2" i="6"/>
  <c r="K4" i="7"/>
  <c r="O4" i="1" l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3" i="1"/>
  <c r="P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3" i="1"/>
  <c r="J3" i="1" s="1"/>
  <c r="F9" i="1"/>
  <c r="G9" i="1" s="1"/>
  <c r="F7" i="1"/>
  <c r="G7" i="1" s="1"/>
  <c r="F4" i="1"/>
  <c r="G4" i="1" s="1"/>
  <c r="F5" i="1"/>
  <c r="G5" i="1" s="1"/>
  <c r="F6" i="1"/>
  <c r="G6" i="1" s="1"/>
  <c r="F8" i="1"/>
  <c r="G8" i="1" s="1"/>
  <c r="F10" i="1"/>
  <c r="G10" i="1" s="1"/>
  <c r="F11" i="1"/>
  <c r="G11" i="1" s="1"/>
  <c r="F12" i="1"/>
  <c r="G12" i="1" s="1"/>
  <c r="F13" i="1"/>
  <c r="G13" i="1" s="1"/>
  <c r="F3" i="1"/>
  <c r="G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3" i="1"/>
  <c r="M3" i="1" s="1"/>
  <c r="C32" i="1" l="1"/>
  <c r="C23" i="1"/>
  <c r="C19" i="1"/>
  <c r="C27" i="1"/>
</calcChain>
</file>

<file path=xl/sharedStrings.xml><?xml version="1.0" encoding="utf-8"?>
<sst xmlns="http://schemas.openxmlformats.org/spreadsheetml/2006/main" count="53" uniqueCount="48">
  <si>
    <t>LambdaB</t>
  </si>
  <si>
    <t>CauchyB</t>
  </si>
  <si>
    <t>Given Data</t>
  </si>
  <si>
    <t>Power Law</t>
  </si>
  <si>
    <t>Polynomial</t>
  </si>
  <si>
    <t>Ogden</t>
  </si>
  <si>
    <t>Fung</t>
  </si>
  <si>
    <t>C=</t>
  </si>
  <si>
    <t>Err=</t>
  </si>
  <si>
    <t>B</t>
  </si>
  <si>
    <t>alpha=</t>
  </si>
  <si>
    <t>Ogden CauchyB</t>
  </si>
  <si>
    <t>Ogden CauchyB Err</t>
  </si>
  <si>
    <t>mu1=</t>
  </si>
  <si>
    <t>mu2=</t>
  </si>
  <si>
    <t>Power CauchyB</t>
  </si>
  <si>
    <t>Power CauchyB Err</t>
  </si>
  <si>
    <t>Polynomial CauchyB</t>
  </si>
  <si>
    <t>a=</t>
  </si>
  <si>
    <t>b=</t>
  </si>
  <si>
    <t>Polynomial CauchyB Err</t>
  </si>
  <si>
    <t>c=</t>
  </si>
  <si>
    <t>Fung CauchyB</t>
  </si>
  <si>
    <t>Fung CauchyB Err</t>
  </si>
  <si>
    <t>a1=</t>
  </si>
  <si>
    <t>a2=</t>
  </si>
  <si>
    <t>a4=</t>
  </si>
  <si>
    <t>k=</t>
  </si>
  <si>
    <t>A</t>
  </si>
  <si>
    <t>C</t>
  </si>
  <si>
    <t>D</t>
  </si>
  <si>
    <t>E</t>
  </si>
  <si>
    <t>F</t>
  </si>
  <si>
    <t>G</t>
  </si>
  <si>
    <t>H</t>
  </si>
  <si>
    <t>I</t>
  </si>
  <si>
    <t>J</t>
  </si>
  <si>
    <t>K</t>
  </si>
  <si>
    <t>Force (lbs)</t>
  </si>
  <si>
    <t>Area (in^2)</t>
  </si>
  <si>
    <t>Unit ID</t>
  </si>
  <si>
    <t>Pressure (psi)</t>
  </si>
  <si>
    <t>Pressure (MPa)</t>
  </si>
  <si>
    <t>Force = Pressure * Area</t>
  </si>
  <si>
    <t>Pressure = Force/Area</t>
  </si>
  <si>
    <t>MPa = Pa/10^6</t>
  </si>
  <si>
    <t>Input Number of Sides:</t>
  </si>
  <si>
    <t>Sum of Cubes: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</si>
</sst>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"B" Data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733878771527753E-2"/>
          <c:y val="8.9346408243584183E-2"/>
          <c:w val="0.92911275399878568"/>
          <c:h val="0.81511054560068874"/>
        </c:manualLayout>
      </c:layout>
      <c:scatterChart>
        <c:scatterStyle val="lineMarker"/>
        <c:varyColors val="0"/>
        <c:ser>
          <c:idx val="0"/>
          <c:order val="0"/>
          <c:tx>
            <c:v>CauchyB</c:v>
          </c:tx>
          <c:spPr>
            <a:ln>
              <a:noFill/>
            </a:ln>
          </c:spPr>
          <c:xVal>
            <c:numRef>
              <c:f>'Part 1'!$C$3:$C$13</c:f>
              <c:numCache>
                <c:formatCode>General</c:formatCode>
                <c:ptCount val="11"/>
                <c:pt idx="0">
                  <c:v>1</c:v>
                </c:pt>
                <c:pt idx="1">
                  <c:v>1.0148999999999999</c:v>
                </c:pt>
                <c:pt idx="2">
                  <c:v>1.0303</c:v>
                </c:pt>
                <c:pt idx="3">
                  <c:v>1.0451999999999999</c:v>
                </c:pt>
                <c:pt idx="4">
                  <c:v>1.0596000000000001</c:v>
                </c:pt>
                <c:pt idx="5">
                  <c:v>1.075</c:v>
                </c:pt>
                <c:pt idx="6">
                  <c:v>1.0895999999999999</c:v>
                </c:pt>
                <c:pt idx="7">
                  <c:v>1.1051</c:v>
                </c:pt>
                <c:pt idx="8">
                  <c:v>1.1196999999999999</c:v>
                </c:pt>
                <c:pt idx="9">
                  <c:v>1.1346000000000001</c:v>
                </c:pt>
                <c:pt idx="10">
                  <c:v>1.1494</c:v>
                </c:pt>
              </c:numCache>
            </c:numRef>
          </c:xVal>
          <c:yVal>
            <c:numRef>
              <c:f>'Part 1'!$D$3:$D$13</c:f>
              <c:numCache>
                <c:formatCode>General</c:formatCode>
                <c:ptCount val="11"/>
                <c:pt idx="0">
                  <c:v>0</c:v>
                </c:pt>
                <c:pt idx="1">
                  <c:v>0.1258</c:v>
                </c:pt>
                <c:pt idx="2">
                  <c:v>0.29830000000000001</c:v>
                </c:pt>
                <c:pt idx="3">
                  <c:v>0.48620000000000002</c:v>
                </c:pt>
                <c:pt idx="4">
                  <c:v>0.67410000000000003</c:v>
                </c:pt>
                <c:pt idx="5">
                  <c:v>0.90869999999999995</c:v>
                </c:pt>
                <c:pt idx="6">
                  <c:v>1.1588000000000001</c:v>
                </c:pt>
                <c:pt idx="7">
                  <c:v>1.5643</c:v>
                </c:pt>
                <c:pt idx="8">
                  <c:v>2.0007000000000001</c:v>
                </c:pt>
                <c:pt idx="9">
                  <c:v>2.5459999999999998</c:v>
                </c:pt>
                <c:pt idx="10">
                  <c:v>3.3087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21-429F-9040-E97CD4C11E2A}"/>
            </c:ext>
          </c:extLst>
        </c:ser>
        <c:ser>
          <c:idx val="3"/>
          <c:order val="1"/>
          <c:tx>
            <c:v>Power (0.0741)</c:v>
          </c:tx>
          <c:spPr>
            <a:ln w="12700"/>
          </c:spPr>
          <c:marker>
            <c:symbol val="none"/>
          </c:marker>
          <c:xVal>
            <c:numRef>
              <c:f>'Part 1'!$C$3:$C$13</c:f>
              <c:numCache>
                <c:formatCode>General</c:formatCode>
                <c:ptCount val="11"/>
                <c:pt idx="0">
                  <c:v>1</c:v>
                </c:pt>
                <c:pt idx="1">
                  <c:v>1.0148999999999999</c:v>
                </c:pt>
                <c:pt idx="2">
                  <c:v>1.0303</c:v>
                </c:pt>
                <c:pt idx="3">
                  <c:v>1.0451999999999999</c:v>
                </c:pt>
                <c:pt idx="4">
                  <c:v>1.0596000000000001</c:v>
                </c:pt>
                <c:pt idx="5">
                  <c:v>1.075</c:v>
                </c:pt>
                <c:pt idx="6">
                  <c:v>1.0895999999999999</c:v>
                </c:pt>
                <c:pt idx="7">
                  <c:v>1.1051</c:v>
                </c:pt>
                <c:pt idx="8">
                  <c:v>1.1196999999999999</c:v>
                </c:pt>
                <c:pt idx="9">
                  <c:v>1.1346000000000001</c:v>
                </c:pt>
                <c:pt idx="10">
                  <c:v>1.1494</c:v>
                </c:pt>
              </c:numCache>
            </c:numRef>
          </c:xVal>
          <c:yVal>
            <c:numRef>
              <c:f>'Part 1'!$F$3:$F$13</c:f>
              <c:numCache>
                <c:formatCode>General</c:formatCode>
                <c:ptCount val="11"/>
                <c:pt idx="0">
                  <c:v>0.19539637359670906</c:v>
                </c:pt>
                <c:pt idx="1">
                  <c:v>0.26421471246581413</c:v>
                </c:pt>
                <c:pt idx="2">
                  <c:v>0.35924305517650684</c:v>
                </c:pt>
                <c:pt idx="3">
                  <c:v>0.48150705354277035</c:v>
                </c:pt>
                <c:pt idx="4">
                  <c:v>0.63655558208325924</c:v>
                </c:pt>
                <c:pt idx="5">
                  <c:v>0.85443538562515342</c:v>
                </c:pt>
                <c:pt idx="6">
                  <c:v>1.1251253006438742</c:v>
                </c:pt>
                <c:pt idx="7">
                  <c:v>1.5008947609584333</c:v>
                </c:pt>
                <c:pt idx="8">
                  <c:v>1.9617231717003452</c:v>
                </c:pt>
                <c:pt idx="9">
                  <c:v>2.5689856398217641</c:v>
                </c:pt>
                <c:pt idx="10">
                  <c:v>3.3464681771637794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21-429F-9040-E97CD4C11E2A}"/>
            </c:ext>
          </c:extLst>
        </c:ser>
        <c:ser>
          <c:idx val="4"/>
          <c:order val="2"/>
          <c:tx>
            <c:v>Polynomial (0.0855)</c:v>
          </c:tx>
          <c:spPr>
            <a:ln w="12700"/>
          </c:spPr>
          <c:marker>
            <c:symbol val="none"/>
          </c:marker>
          <c:xVal>
            <c:numRef>
              <c:f>'Part 1'!$C$3:$C$13</c:f>
              <c:numCache>
                <c:formatCode>General</c:formatCode>
                <c:ptCount val="11"/>
                <c:pt idx="0">
                  <c:v>1</c:v>
                </c:pt>
                <c:pt idx="1">
                  <c:v>1.0148999999999999</c:v>
                </c:pt>
                <c:pt idx="2">
                  <c:v>1.0303</c:v>
                </c:pt>
                <c:pt idx="3">
                  <c:v>1.0451999999999999</c:v>
                </c:pt>
                <c:pt idx="4">
                  <c:v>1.0596000000000001</c:v>
                </c:pt>
                <c:pt idx="5">
                  <c:v>1.075</c:v>
                </c:pt>
                <c:pt idx="6">
                  <c:v>1.0895999999999999</c:v>
                </c:pt>
                <c:pt idx="7">
                  <c:v>1.1051</c:v>
                </c:pt>
                <c:pt idx="8">
                  <c:v>1.1196999999999999</c:v>
                </c:pt>
                <c:pt idx="9">
                  <c:v>1.1346000000000001</c:v>
                </c:pt>
                <c:pt idx="10">
                  <c:v>1.1494</c:v>
                </c:pt>
              </c:numCache>
            </c:numRef>
          </c:xVal>
          <c:yVal>
            <c:numRef>
              <c:f>'Part 1'!$I$3:$I$13</c:f>
              <c:numCache>
                <c:formatCode>General</c:formatCode>
                <c:ptCount val="11"/>
                <c:pt idx="0">
                  <c:v>50</c:v>
                </c:pt>
                <c:pt idx="1">
                  <c:v>50.772751249999999</c:v>
                </c:pt>
                <c:pt idx="2">
                  <c:v>51.629761250000001</c:v>
                </c:pt>
                <c:pt idx="3">
                  <c:v>52.515379999999993</c:v>
                </c:pt>
                <c:pt idx="4">
                  <c:v>53.424019999999985</c:v>
                </c:pt>
                <c:pt idx="5">
                  <c:v>54.453125</c:v>
                </c:pt>
                <c:pt idx="6">
                  <c:v>55.483519999999999</c:v>
                </c:pt>
                <c:pt idx="7">
                  <c:v>56.635751250000027</c:v>
                </c:pt>
                <c:pt idx="8">
                  <c:v>57.776011249999982</c:v>
                </c:pt>
                <c:pt idx="9">
                  <c:v>58.99464500000002</c:v>
                </c:pt>
                <c:pt idx="10">
                  <c:v>60.260044999999991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21-429F-9040-E97CD4C11E2A}"/>
            </c:ext>
          </c:extLst>
        </c:ser>
        <c:ser>
          <c:idx val="2"/>
          <c:order val="3"/>
          <c:tx>
            <c:v>Ogden (0.0020)</c:v>
          </c:tx>
          <c:spPr>
            <a:ln w="12700"/>
          </c:spPr>
          <c:marker>
            <c:symbol val="none"/>
          </c:marker>
          <c:xVal>
            <c:numRef>
              <c:f>'Part 1'!$C$3:$C$13</c:f>
              <c:numCache>
                <c:formatCode>General</c:formatCode>
                <c:ptCount val="11"/>
                <c:pt idx="0">
                  <c:v>1</c:v>
                </c:pt>
                <c:pt idx="1">
                  <c:v>1.0148999999999999</c:v>
                </c:pt>
                <c:pt idx="2">
                  <c:v>1.0303</c:v>
                </c:pt>
                <c:pt idx="3">
                  <c:v>1.0451999999999999</c:v>
                </c:pt>
                <c:pt idx="4">
                  <c:v>1.0596000000000001</c:v>
                </c:pt>
                <c:pt idx="5">
                  <c:v>1.075</c:v>
                </c:pt>
                <c:pt idx="6">
                  <c:v>1.0895999999999999</c:v>
                </c:pt>
                <c:pt idx="7">
                  <c:v>1.1051</c:v>
                </c:pt>
                <c:pt idx="8">
                  <c:v>1.1196999999999999</c:v>
                </c:pt>
                <c:pt idx="9">
                  <c:v>1.1346000000000001</c:v>
                </c:pt>
                <c:pt idx="10">
                  <c:v>1.1494</c:v>
                </c:pt>
              </c:numCache>
            </c:numRef>
          </c:xVal>
          <c:yVal>
            <c:numRef>
              <c:f>'Part 1'!$L$3:$L$13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21-429F-9040-E97CD4C11E2A}"/>
            </c:ext>
          </c:extLst>
        </c:ser>
        <c:ser>
          <c:idx val="5"/>
          <c:order val="4"/>
          <c:tx>
            <c:v>Fung (0.0031)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'Part 1'!$C$3:$C$13</c:f>
              <c:numCache>
                <c:formatCode>General</c:formatCode>
                <c:ptCount val="11"/>
                <c:pt idx="0">
                  <c:v>1</c:v>
                </c:pt>
                <c:pt idx="1">
                  <c:v>1.0148999999999999</c:v>
                </c:pt>
                <c:pt idx="2">
                  <c:v>1.0303</c:v>
                </c:pt>
                <c:pt idx="3">
                  <c:v>1.0451999999999999</c:v>
                </c:pt>
                <c:pt idx="4">
                  <c:v>1.0596000000000001</c:v>
                </c:pt>
                <c:pt idx="5">
                  <c:v>1.075</c:v>
                </c:pt>
                <c:pt idx="6">
                  <c:v>1.0895999999999999</c:v>
                </c:pt>
                <c:pt idx="7">
                  <c:v>1.1051</c:v>
                </c:pt>
                <c:pt idx="8">
                  <c:v>1.1196999999999999</c:v>
                </c:pt>
                <c:pt idx="9">
                  <c:v>1.1346000000000001</c:v>
                </c:pt>
                <c:pt idx="10">
                  <c:v>1.1494</c:v>
                </c:pt>
              </c:numCache>
            </c:numRef>
          </c:xVal>
          <c:yVal>
            <c:numRef>
              <c:f>'Part 1'!$O$3:$O$13</c:f>
              <c:numCache>
                <c:formatCode>General</c:formatCode>
                <c:ptCount val="11"/>
                <c:pt idx="0">
                  <c:v>0</c:v>
                </c:pt>
                <c:pt idx="1">
                  <c:v>1.4838326757980467</c:v>
                </c:pt>
                <c:pt idx="2">
                  <c:v>3.0259623060186378</c:v>
                </c:pt>
                <c:pt idx="3">
                  <c:v>4.5585736091737141</c:v>
                </c:pt>
                <c:pt idx="4">
                  <c:v>6.1100771485192977</c:v>
                </c:pt>
                <c:pt idx="5">
                  <c:v>7.8853466417163967</c:v>
                </c:pt>
                <c:pt idx="6">
                  <c:v>9.7222596604621607</c:v>
                </c:pt>
                <c:pt idx="7">
                  <c:v>11.891919780963439</c:v>
                </c:pt>
                <c:pt idx="8">
                  <c:v>14.204480663263114</c:v>
                </c:pt>
                <c:pt idx="9">
                  <c:v>16.910222247260069</c:v>
                </c:pt>
                <c:pt idx="10">
                  <c:v>20.037602976330419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21-429F-9040-E97CD4C11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586384"/>
        <c:axId val="441589520"/>
      </c:scatterChart>
      <c:valAx>
        <c:axId val="441586384"/>
        <c:scaling>
          <c:orientation val="minMax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441589520"/>
        <c:crosses val="autoZero"/>
        <c:crossBetween val="midCat"/>
      </c:valAx>
      <c:valAx>
        <c:axId val="44158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15863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3"/>
  <sheetViews>
    <sheetView zoomScale="123" workbookViewId="0" zoomToFit="1"/>
  </sheetViews>
  <pageMargins left="0.7" right="0.7" top="0.75" bottom="0.75" header="0.3" footer="0.3"/>
  <pageSetup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198120</xdr:colOff>
      <xdr:row>16</xdr:row>
      <xdr:rowOff>141921</xdr:rowOff>
    </xdr:from>
    <xdr:ext cx="1676400" cy="390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2308860" y="3068001"/>
              <a:ext cx="1676400" cy="390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</m:d>
                    <m:r>
                      <a:rPr lang="en-US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  <m:sup>
                        <m:r>
                          <a:rPr lang="en-US" sz="2400" b="0" i="1">
                            <a:latin typeface="Cambria Math" panose="02040503050406030204" pitchFamily="18" charset="0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2308860" y="3068001"/>
              <a:ext cx="1676400" cy="390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400" b="0" i="0">
                  <a:latin typeface="Cambria Math" panose="02040503050406030204" pitchFamily="18" charset="0"/>
                </a:rPr>
                <a:t>𝑓(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𝜆)</a:t>
              </a:r>
              <a:r>
                <a:rPr lang="en-US" sz="2400" b="0" i="0">
                  <a:latin typeface="Cambria Math" panose="02040503050406030204" pitchFamily="18" charset="0"/>
                </a:rPr>
                <a:t>=𝑎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𝜆^</a:t>
              </a:r>
              <a:r>
                <a:rPr lang="en-US" sz="2400" b="0" i="0">
                  <a:latin typeface="Cambria Math" panose="02040503050406030204" pitchFamily="18" charset="0"/>
                </a:rPr>
                <a:t>𝑘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198120</xdr:colOff>
      <xdr:row>19</xdr:row>
      <xdr:rowOff>170496</xdr:rowOff>
    </xdr:from>
    <xdr:ext cx="2971800" cy="3825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308860" y="3645216"/>
              <a:ext cx="2971800" cy="382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</m:d>
                    <m:r>
                      <a:rPr lang="en-US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  <m:sup>
                        <m:r>
                          <a:rPr lang="en-US" sz="24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2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US" sz="2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𝜆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308860" y="3645216"/>
              <a:ext cx="2971800" cy="382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400" b="0" i="0">
                  <a:latin typeface="Cambria Math" panose="02040503050406030204" pitchFamily="18" charset="0"/>
                </a:rPr>
                <a:t>𝑓(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𝜆)</a:t>
              </a:r>
              <a:r>
                <a:rPr lang="en-US" sz="2400" b="0" i="0">
                  <a:latin typeface="Cambria Math" panose="02040503050406030204" pitchFamily="18" charset="0"/>
                </a:rPr>
                <a:t>=𝑎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𝜆^</a:t>
              </a:r>
              <a:r>
                <a:rPr lang="en-US" sz="2400" b="0" i="0">
                  <a:latin typeface="Cambria Math" panose="02040503050406030204" pitchFamily="18" charset="0"/>
                </a:rPr>
                <a:t>2+𝑏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US" sz="2400" b="0" i="0">
                  <a:latin typeface="Cambria Math" panose="02040503050406030204" pitchFamily="18" charset="0"/>
                </a:rPr>
                <a:t>+𝑐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198120</xdr:colOff>
      <xdr:row>23</xdr:row>
      <xdr:rowOff>59055</xdr:rowOff>
    </xdr:from>
    <xdr:ext cx="5419726" cy="4562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2308860" y="4265295"/>
              <a:ext cx="5419726" cy="4562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</m:d>
                    <m:r>
                      <a:rPr lang="en-US" sz="2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𝜇</m:t>
                        </m:r>
                      </m:e>
                      <m:sub>
                        <m:r>
                          <a:rPr lang="en-US" sz="2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2400" b="0" i="1">
                        <a:latin typeface="Cambria Math" panose="02040503050406030204" pitchFamily="18" charset="0"/>
                      </a:rPr>
                      <m:t>(</m:t>
                    </m:r>
                    <m:sSup>
                      <m:sSup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  <m:sup>
                        <m:r>
                          <a:rPr lang="en-US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sup>
                    </m:sSup>
                    <m:r>
                      <a:rPr lang="en-US" sz="2400" b="0" i="1">
                        <a:latin typeface="Cambria Math" panose="02040503050406030204" pitchFamily="18" charset="0"/>
                      </a:rPr>
                      <m:t>−</m:t>
                    </m:r>
                    <m:sSup>
                      <m:sSupPr>
                        <m:ctrlP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𝜆</m:t>
                        </m:r>
                      </m:e>
                      <m:sup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/2</m:t>
                        </m:r>
                      </m:sup>
                    </m:sSup>
                    <m:r>
                      <a:rPr lang="en-US" sz="2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  <m:sSub>
                      <m:sSubPr>
                        <m:ctrlP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𝜇</m:t>
                        </m:r>
                      </m:e>
                      <m:sub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n-US" sz="2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𝜆</m:t>
                        </m:r>
                      </m:e>
                      <m:sup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sup>
                    </m:sSup>
                    <m:r>
                      <a:rPr lang="en-US" sz="2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𝜆</m:t>
                        </m:r>
                      </m:e>
                      <m:sup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−3</m:t>
                        </m:r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/2</m:t>
                        </m:r>
                      </m:sup>
                    </m:sSup>
                    <m:r>
                      <a:rPr lang="en-US" sz="2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 sz="2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2308860" y="4265295"/>
              <a:ext cx="5419726" cy="4562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400" b="0" i="0">
                  <a:latin typeface="Cambria Math" panose="02040503050406030204" pitchFamily="18" charset="0"/>
                </a:rPr>
                <a:t>𝑓(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𝜆)</a:t>
              </a:r>
              <a:r>
                <a:rPr lang="en-US" sz="2400" b="0" i="0">
                  <a:latin typeface="Cambria Math" panose="02040503050406030204" pitchFamily="18" charset="0"/>
                </a:rPr>
                <a:t>=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</a:t>
              </a:r>
              <a:r>
                <a:rPr lang="en-US" sz="2400" b="0" i="0">
                  <a:latin typeface="Cambria Math" panose="02040503050406030204" pitchFamily="18" charset="0"/>
                </a:rPr>
                <a:t>1 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𝜆^𝛼</a:t>
              </a:r>
              <a:r>
                <a:rPr lang="en-US" sz="2400" b="0" i="0">
                  <a:latin typeface="Cambria Math" panose="02040503050406030204" pitchFamily="18" charset="0"/>
                </a:rPr>
                <a:t>−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𝜆^(−𝛼/2)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𝜇_2 (𝜆^3𝛼−𝜆^(−3𝛼/2))</a:t>
              </a:r>
              <a:endParaRPr lang="en-US" sz="2400"/>
            </a:p>
          </xdr:txBody>
        </xdr:sp>
      </mc:Fallback>
    </mc:AlternateContent>
    <xdr:clientData/>
  </xdr:oneCellAnchor>
  <xdr:oneCellAnchor>
    <xdr:from>
      <xdr:col>3</xdr:col>
      <xdr:colOff>198120</xdr:colOff>
      <xdr:row>26</xdr:row>
      <xdr:rowOff>62865</xdr:rowOff>
    </xdr:from>
    <xdr:ext cx="10344150" cy="1228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308860" y="4817745"/>
              <a:ext cx="10344150" cy="1228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</m:d>
                    <m:r>
                      <a:rPr lang="en-US" sz="24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𝜆</m:t>
                                </m:r>
                              </m:e>
                              <m:sup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e>
                                  <m:sub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</m:t>
                                    </m:r>
                                  </m:sub>
                                </m:sSub>
                              </m:num>
                              <m:den>
                                <m:d>
                                  <m:dPr>
                                    <m:ctrlP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sSub>
                                      <m:sSubPr>
                                        <m:ctrlPr>
                                          <a:rPr lang="en-US" sz="2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2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𝑎</m:t>
                                        </m:r>
                                      </m:e>
                                      <m:sub>
                                        <m:r>
                                          <a:rPr lang="en-US" sz="2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e>
                                </m:d>
                              </m:den>
                            </m:f>
                            <m:d>
                              <m:d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p>
                                  <m:sSupPr>
                                    <m:ctrlP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𝜆</m:t>
                                    </m:r>
                                  </m:e>
                                  <m:sup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𝜆</m:t>
                                </m:r>
                              </m:e>
                            </m:d>
                          </m:den>
                        </m:f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𝜆</m:t>
                        </m:r>
                      </m:e>
                    </m:d>
                    <m:d>
                      <m:dPr>
                        <m:ctrlPr>
                          <a:rPr lang="en-US" sz="2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b>
                            <m: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4</m:t>
                                </m:r>
                              </m:sub>
                              <m:sup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num>
                          <m:den>
                            <m: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</m:t>
                            </m:r>
                            <m:sSub>
                              <m:sSub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den>
                        </m:f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</m:d>
                    <m:f>
                      <m:fPr>
                        <m:ctrlP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p>
                          <m:sSupPr>
                            <m:ctrlP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𝜆</m:t>
                            </m:r>
                          </m:e>
                          <m:sup>
                            <m: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−1)</m:t>
                        </m:r>
                      </m:num>
                      <m:den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2</m:t>
                        </m:r>
                      </m:den>
                    </m:f>
                    <m:sSup>
                      <m:sSupPr>
                        <m:ctrlP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e>
                                  <m:sub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e>
                                  <m:sub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4</m:t>
                                    </m:r>
                                  </m:sub>
                                  <m:sup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  <m:sSub>
                                  <m:sSubPr>
                                    <m:ctrlP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e>
                                  <m:sub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sup>
                    </m:sSup>
                    <m:sSup>
                      <m:sSupPr>
                        <m:ctrlP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2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𝜆</m:t>
                                    </m:r>
                                  </m:e>
                                  <m:sup>
                                    <m:r>
                                      <a:rPr lang="en-US" sz="2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num>
                              <m:den>
                                <m:r>
                                  <a:rPr lang="en-US" sz="2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2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24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308860" y="4817745"/>
              <a:ext cx="10344150" cy="1228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400" b="0" i="0">
                  <a:latin typeface="Cambria Math" panose="02040503050406030204" pitchFamily="18" charset="0"/>
                </a:rPr>
                <a:t>𝑓(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𝜆)</a:t>
              </a:r>
              <a:r>
                <a:rPr lang="en-US" sz="2400" b="0" i="0">
                  <a:latin typeface="Cambria Math" panose="02040503050406030204" pitchFamily="18" charset="0"/>
                </a:rPr>
                <a:t>=(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𝜆^2/(−𝑎_4/((2𝑎_2 ) ) (𝜆^2+𝜆) )+𝜆)</a:t>
              </a:r>
              <a:r>
                <a:rPr lang="en-US" sz="2400" b="0" i="0">
                  <a:latin typeface="Cambria Math" panose="02040503050406030204" pitchFamily="18" charset="0"/>
                </a:rPr>
                <a:t>(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𝑎_1 𝐶−(𝑎_4^2)/(4𝑎_2 ) 𝐶)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(𝜆^2−1)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)/2 𝑒^((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𝑎_1−𝑎_4/2−(𝑎_4^2)/(2𝑎_2 )) 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(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(𝜆^2−1)/2)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^2</a:t>
              </a:r>
              <a:endParaRPr lang="en-US" sz="2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269843</xdr:colOff>
      <xdr:row>0</xdr:row>
      <xdr:rowOff>189388</xdr:rowOff>
    </xdr:from>
    <xdr:ext cx="4296946" cy="13821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9F23DD5B-A257-4773-990A-7F58C76EAC0F}"/>
                </a:ext>
              </a:extLst>
            </xdr:cNvPr>
            <xdr:cNvSpPr txBox="1"/>
          </xdr:nvSpPr>
          <xdr:spPr>
            <a:xfrm>
              <a:off x="269843" y="189388"/>
              <a:ext cx="4296946" cy="13821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3200" b="0" i="1">
                        <a:latin typeface="Cambria Math" panose="02040503050406030204" pitchFamily="18" charset="0"/>
                      </a:rPr>
                      <m:t>𝑆𝑢𝑚</m:t>
                    </m:r>
                    <m:r>
                      <a:rPr lang="en-US" sz="32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3200" b="0" i="1">
                        <a:latin typeface="Cambria Math" panose="02040503050406030204" pitchFamily="18" charset="0"/>
                      </a:rPr>
                      <m:t>𝑜𝑓</m:t>
                    </m:r>
                    <m:r>
                      <a:rPr lang="en-US" sz="32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3200" b="0" i="1">
                        <a:latin typeface="Cambria Math" panose="02040503050406030204" pitchFamily="18" charset="0"/>
                      </a:rPr>
                      <m:t>𝐶𝑢𝑏𝑒𝑠</m:t>
                    </m:r>
                    <m:r>
                      <a:rPr lang="en-US" sz="3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32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3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n-US" sz="3200" b="0" i="1">
                            <a:latin typeface="Cambria Math" panose="02040503050406030204" pitchFamily="18" charset="0"/>
                          </a:rPr>
                          <m:t>𝑁</m:t>
                        </m:r>
                      </m:sup>
                      <m:e>
                        <m:sSup>
                          <m:sSupPr>
                            <m:ctrlPr>
                              <a:rPr lang="en-US" sz="32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32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p>
                            <m:r>
                              <a:rPr lang="en-US" sz="32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US" sz="32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9F23DD5B-A257-4773-990A-7F58C76EAC0F}"/>
                </a:ext>
              </a:extLst>
            </xdr:cNvPr>
            <xdr:cNvSpPr txBox="1"/>
          </xdr:nvSpPr>
          <xdr:spPr>
            <a:xfrm>
              <a:off x="269843" y="189388"/>
              <a:ext cx="4296946" cy="13821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3200" b="0" i="0">
                  <a:latin typeface="Cambria Math" panose="02040503050406030204" pitchFamily="18" charset="0"/>
                </a:rPr>
                <a:t>𝑆𝑢𝑚 𝑜𝑓 𝐶𝑢𝑏𝑒𝑠</a:t>
              </a:r>
              <a:r>
                <a:rPr lang="en-US" sz="3200" i="0">
                  <a:latin typeface="Cambria Math" panose="02040503050406030204" pitchFamily="18" charset="0"/>
                </a:rPr>
                <a:t>=∑24_</a:t>
              </a:r>
              <a:r>
                <a:rPr lang="en-US" sz="3200" b="0" i="0">
                  <a:latin typeface="Cambria Math" panose="02040503050406030204" pitchFamily="18" charset="0"/>
                </a:rPr>
                <a:t>1^𝑁▒𝑁^3 </a:t>
              </a:r>
              <a:endParaRPr lang="en-US" sz="3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2"/>
  <sheetViews>
    <sheetView workbookViewId="0">
      <selection activeCell="C17" sqref="C17"/>
    </sheetView>
  </sheetViews>
  <sheetFormatPr defaultRowHeight="15" x14ac:dyDescent="0.25"/>
  <cols>
    <col min="1" max="1" width="13" customWidth="1"/>
    <col min="5" max="5" width="3.140625" customWidth="1"/>
    <col min="6" max="6" width="14.85546875" bestFit="1" customWidth="1"/>
    <col min="7" max="7" width="17.85546875" bestFit="1" customWidth="1"/>
    <col min="8" max="8" width="3.42578125" customWidth="1"/>
    <col min="9" max="9" width="19.140625" bestFit="1" customWidth="1"/>
    <col min="10" max="10" width="22.28515625" bestFit="1" customWidth="1"/>
    <col min="11" max="11" width="3" customWidth="1"/>
    <col min="12" max="12" width="14.85546875" bestFit="1" customWidth="1"/>
    <col min="13" max="13" width="17.85546875" bestFit="1" customWidth="1"/>
    <col min="14" max="14" width="4" customWidth="1"/>
    <col min="15" max="15" width="13.28515625" bestFit="1" customWidth="1"/>
    <col min="16" max="16" width="16.140625" bestFit="1" customWidth="1"/>
  </cols>
  <sheetData>
    <row r="1" spans="2:16" x14ac:dyDescent="0.25">
      <c r="B1" s="2"/>
      <c r="C1" s="3" t="s">
        <v>2</v>
      </c>
      <c r="D1" s="3"/>
    </row>
    <row r="2" spans="2:16" s="1" customFormat="1" x14ac:dyDescent="0.25">
      <c r="C2" s="1" t="s">
        <v>0</v>
      </c>
      <c r="D2" s="1" t="s">
        <v>1</v>
      </c>
      <c r="F2" s="1" t="s">
        <v>15</v>
      </c>
      <c r="G2" s="1" t="s">
        <v>16</v>
      </c>
      <c r="I2" s="1" t="s">
        <v>17</v>
      </c>
      <c r="J2" s="1" t="s">
        <v>20</v>
      </c>
      <c r="L2" s="1" t="s">
        <v>11</v>
      </c>
      <c r="M2" s="1" t="s">
        <v>12</v>
      </c>
      <c r="O2" s="1" t="s">
        <v>22</v>
      </c>
      <c r="P2" s="1" t="s">
        <v>23</v>
      </c>
    </row>
    <row r="3" spans="2:16" x14ac:dyDescent="0.25">
      <c r="C3">
        <v>1</v>
      </c>
      <c r="D3">
        <v>0</v>
      </c>
      <c r="F3">
        <f t="shared" ref="F3:F13" si="0">$C$17*C3^$C$18</f>
        <v>0.19539637359670906</v>
      </c>
      <c r="G3">
        <f t="shared" ref="G3:G13" si="1">(D3-F3)^2</f>
        <v>3.8179742814744698E-2</v>
      </c>
      <c r="I3">
        <f t="shared" ref="I3:I13" si="2">$C$20*C3^2+$C$21*C3+$C$22</f>
        <v>50</v>
      </c>
      <c r="J3">
        <f t="shared" ref="J3:J13" si="3">(D3-I3)^2</f>
        <v>2500</v>
      </c>
      <c r="L3">
        <f t="shared" ref="L3:L13" si="4">$C$24*(C3^$C$26-C3^(-0.5*$C$26))+$C$25*(C3^(3*$C$26)-C3^(-0.5*3*$C$26))</f>
        <v>0</v>
      </c>
      <c r="M3">
        <f t="shared" ref="M3:M13" si="5">(D3-L3)^2</f>
        <v>0</v>
      </c>
      <c r="O3">
        <f t="shared" ref="O3:O13" si="6">C3^2/(-$C$30/(2*$C$29)*(C3^2+C3)+C3)*($C$31*$C$28-$C$30^2/(4*$C$29)*$C$31)*(C3^2-1)/2*EXP(($C$28-$C$30/2-$C$30^2/(2*$C$29))*((C3^2-1)/2)^2)</f>
        <v>0</v>
      </c>
      <c r="P3">
        <f t="shared" ref="P3:P13" si="7">(D3-O3)^2</f>
        <v>0</v>
      </c>
    </row>
    <row r="4" spans="2:16" x14ac:dyDescent="0.25">
      <c r="C4">
        <v>1.0148999999999999</v>
      </c>
      <c r="D4">
        <v>0.1258</v>
      </c>
      <c r="F4">
        <f t="shared" si="0"/>
        <v>0.26421471246581413</v>
      </c>
      <c r="G4">
        <f t="shared" si="1"/>
        <v>1.9158632626994004E-2</v>
      </c>
      <c r="I4">
        <f t="shared" si="2"/>
        <v>50.772751249999999</v>
      </c>
      <c r="J4">
        <f t="shared" si="3"/>
        <v>2565.1136709198768</v>
      </c>
      <c r="L4">
        <f t="shared" si="4"/>
        <v>0</v>
      </c>
      <c r="M4">
        <f t="shared" si="5"/>
        <v>1.5825639999999998E-2</v>
      </c>
      <c r="O4">
        <f t="shared" si="6"/>
        <v>1.4838326757980467</v>
      </c>
      <c r="P4">
        <f t="shared" si="7"/>
        <v>1.8442527485352027</v>
      </c>
    </row>
    <row r="5" spans="2:16" x14ac:dyDescent="0.25">
      <c r="C5">
        <v>1.0303</v>
      </c>
      <c r="D5">
        <v>0.29830000000000001</v>
      </c>
      <c r="F5">
        <f t="shared" si="0"/>
        <v>0.35924305517650684</v>
      </c>
      <c r="G5">
        <f t="shared" si="1"/>
        <v>3.7140559742467561E-3</v>
      </c>
      <c r="I5">
        <f t="shared" si="2"/>
        <v>51.629761250000001</v>
      </c>
      <c r="J5">
        <f t="shared" si="3"/>
        <v>2634.9189140602521</v>
      </c>
      <c r="L5">
        <f t="shared" si="4"/>
        <v>0</v>
      </c>
      <c r="M5">
        <f t="shared" si="5"/>
        <v>8.8982890000000009E-2</v>
      </c>
      <c r="O5">
        <f t="shared" si="6"/>
        <v>3.0259623060186378</v>
      </c>
      <c r="P5">
        <f t="shared" si="7"/>
        <v>7.4401416556749114</v>
      </c>
    </row>
    <row r="6" spans="2:16" x14ac:dyDescent="0.25">
      <c r="C6">
        <v>1.0451999999999999</v>
      </c>
      <c r="D6">
        <v>0.48620000000000002</v>
      </c>
      <c r="F6">
        <f t="shared" si="0"/>
        <v>0.48150705354277035</v>
      </c>
      <c r="G6">
        <f t="shared" si="1"/>
        <v>2.2023746450424548E-5</v>
      </c>
      <c r="I6">
        <f t="shared" si="2"/>
        <v>52.515379999999993</v>
      </c>
      <c r="J6">
        <f t="shared" si="3"/>
        <v>2707.0355714723996</v>
      </c>
      <c r="L6">
        <f t="shared" si="4"/>
        <v>0</v>
      </c>
      <c r="M6">
        <f t="shared" si="5"/>
        <v>0.23639044000000001</v>
      </c>
      <c r="O6">
        <f t="shared" si="6"/>
        <v>4.5585736091737141</v>
      </c>
      <c r="P6">
        <f t="shared" si="7"/>
        <v>16.584226812694542</v>
      </c>
    </row>
    <row r="7" spans="2:16" x14ac:dyDescent="0.25">
      <c r="C7">
        <v>1.0596000000000001</v>
      </c>
      <c r="D7">
        <v>0.67410000000000003</v>
      </c>
      <c r="F7">
        <f t="shared" si="0"/>
        <v>0.63655558208325924</v>
      </c>
      <c r="G7">
        <f t="shared" si="1"/>
        <v>1.4095833167068869E-3</v>
      </c>
      <c r="I7">
        <f t="shared" si="2"/>
        <v>53.424019999999985</v>
      </c>
      <c r="J7">
        <f t="shared" si="3"/>
        <v>2782.5540600063982</v>
      </c>
      <c r="L7">
        <f t="shared" si="4"/>
        <v>0</v>
      </c>
      <c r="M7">
        <f t="shared" si="5"/>
        <v>0.45441081000000005</v>
      </c>
      <c r="O7">
        <f t="shared" si="6"/>
        <v>6.1100771485192977</v>
      </c>
      <c r="P7">
        <f t="shared" si="7"/>
        <v>29.549847559223995</v>
      </c>
    </row>
    <row r="8" spans="2:16" x14ac:dyDescent="0.25">
      <c r="C8">
        <v>1.075</v>
      </c>
      <c r="D8">
        <v>0.90869999999999995</v>
      </c>
      <c r="F8">
        <f t="shared" si="0"/>
        <v>0.85443538562515342</v>
      </c>
      <c r="G8">
        <f t="shared" si="1"/>
        <v>2.9446483732508007E-3</v>
      </c>
      <c r="I8">
        <f t="shared" si="2"/>
        <v>54.453125</v>
      </c>
      <c r="J8">
        <f t="shared" si="3"/>
        <v>2867.0054485806245</v>
      </c>
      <c r="L8">
        <f t="shared" si="4"/>
        <v>0</v>
      </c>
      <c r="M8">
        <f t="shared" si="5"/>
        <v>0.82573568999999991</v>
      </c>
      <c r="O8">
        <f t="shared" si="6"/>
        <v>7.8853466417163967</v>
      </c>
      <c r="P8">
        <f t="shared" si="7"/>
        <v>48.673598363372683</v>
      </c>
    </row>
    <row r="9" spans="2:16" x14ac:dyDescent="0.25">
      <c r="C9">
        <v>1.0895999999999999</v>
      </c>
      <c r="D9">
        <v>1.1588000000000001</v>
      </c>
      <c r="F9">
        <f t="shared" si="0"/>
        <v>1.1251253006438742</v>
      </c>
      <c r="G9">
        <f t="shared" si="1"/>
        <v>1.1339853767254647E-3</v>
      </c>
      <c r="I9">
        <f t="shared" si="2"/>
        <v>55.483519999999999</v>
      </c>
      <c r="J9">
        <f t="shared" si="3"/>
        <v>2951.1752030784</v>
      </c>
      <c r="L9">
        <f t="shared" si="4"/>
        <v>0</v>
      </c>
      <c r="M9">
        <f t="shared" si="5"/>
        <v>1.3428174400000001</v>
      </c>
      <c r="O9">
        <f t="shared" si="6"/>
        <v>9.7222596604621607</v>
      </c>
      <c r="P9">
        <f t="shared" si="7"/>
        <v>73.332841356362721</v>
      </c>
    </row>
    <row r="10" spans="2:16" x14ac:dyDescent="0.25">
      <c r="C10">
        <v>1.1051</v>
      </c>
      <c r="D10">
        <v>1.5643</v>
      </c>
      <c r="F10">
        <f t="shared" si="0"/>
        <v>1.5008947609584333</v>
      </c>
      <c r="G10">
        <f t="shared" si="1"/>
        <v>4.0202243379182136E-3</v>
      </c>
      <c r="I10">
        <f t="shared" si="2"/>
        <v>56.635751250000027</v>
      </c>
      <c r="J10">
        <f t="shared" si="3"/>
        <v>3032.8647427811293</v>
      </c>
      <c r="L10">
        <f t="shared" si="4"/>
        <v>0</v>
      </c>
      <c r="M10">
        <f t="shared" si="5"/>
        <v>2.4470344900000001</v>
      </c>
      <c r="O10">
        <f t="shared" si="6"/>
        <v>11.891919780963439</v>
      </c>
      <c r="P10">
        <f t="shared" si="7"/>
        <v>106.65973034014733</v>
      </c>
    </row>
    <row r="11" spans="2:16" x14ac:dyDescent="0.25">
      <c r="C11">
        <v>1.1196999999999999</v>
      </c>
      <c r="D11">
        <v>2.0007000000000001</v>
      </c>
      <c r="F11">
        <f t="shared" si="0"/>
        <v>1.9617231717003452</v>
      </c>
      <c r="G11">
        <f t="shared" si="1"/>
        <v>1.5191931443007858E-3</v>
      </c>
      <c r="I11">
        <f t="shared" si="2"/>
        <v>57.776011249999982</v>
      </c>
      <c r="J11">
        <f t="shared" si="3"/>
        <v>3110.8853450343745</v>
      </c>
      <c r="L11">
        <f t="shared" si="4"/>
        <v>0</v>
      </c>
      <c r="M11">
        <f t="shared" si="5"/>
        <v>4.0028004900000003</v>
      </c>
      <c r="O11">
        <f t="shared" si="6"/>
        <v>14.204480663263114</v>
      </c>
      <c r="P11">
        <f t="shared" si="7"/>
        <v>148.9322624770347</v>
      </c>
    </row>
    <row r="12" spans="2:16" x14ac:dyDescent="0.25">
      <c r="C12">
        <v>1.1346000000000001</v>
      </c>
      <c r="D12">
        <v>2.5459999999999998</v>
      </c>
      <c r="F12">
        <f t="shared" si="0"/>
        <v>2.5689856398217641</v>
      </c>
      <c r="G12">
        <f t="shared" si="1"/>
        <v>5.2833963801587533E-4</v>
      </c>
      <c r="I12">
        <f t="shared" si="2"/>
        <v>58.99464500000002</v>
      </c>
      <c r="J12">
        <f t="shared" si="3"/>
        <v>3186.4495223360273</v>
      </c>
      <c r="L12">
        <f t="shared" si="4"/>
        <v>0</v>
      </c>
      <c r="M12">
        <f t="shared" si="5"/>
        <v>6.4821159999999987</v>
      </c>
      <c r="O12">
        <f t="shared" si="6"/>
        <v>16.910222247260069</v>
      </c>
      <c r="P12">
        <f t="shared" si="7"/>
        <v>206.33088076868114</v>
      </c>
    </row>
    <row r="13" spans="2:16" x14ac:dyDescent="0.25">
      <c r="C13">
        <v>1.1494</v>
      </c>
      <c r="D13">
        <v>3.3087</v>
      </c>
      <c r="F13">
        <f t="shared" si="0"/>
        <v>3.3464681771637794</v>
      </c>
      <c r="G13">
        <f t="shared" si="1"/>
        <v>1.4264352062746315E-3</v>
      </c>
      <c r="I13">
        <f t="shared" si="2"/>
        <v>60.260044999999991</v>
      </c>
      <c r="J13">
        <f t="shared" si="3"/>
        <v>3243.4556973090239</v>
      </c>
      <c r="L13">
        <f t="shared" si="4"/>
        <v>0</v>
      </c>
      <c r="M13">
        <f t="shared" si="5"/>
        <v>10.94749569</v>
      </c>
      <c r="O13">
        <f t="shared" si="6"/>
        <v>20.037602976330419</v>
      </c>
      <c r="P13">
        <f t="shared" si="7"/>
        <v>279.8561947914767</v>
      </c>
    </row>
    <row r="16" spans="2:16" x14ac:dyDescent="0.25">
      <c r="C16" s="1" t="s">
        <v>9</v>
      </c>
    </row>
    <row r="17" spans="1:3" x14ac:dyDescent="0.25">
      <c r="A17" s="1" t="s">
        <v>3</v>
      </c>
      <c r="B17" t="s">
        <v>18</v>
      </c>
      <c r="C17">
        <v>0.19539637359670906</v>
      </c>
    </row>
    <row r="18" spans="1:3" x14ac:dyDescent="0.25">
      <c r="A18" s="1"/>
      <c r="B18" t="s">
        <v>27</v>
      </c>
      <c r="C18">
        <v>20.40095693701117</v>
      </c>
    </row>
    <row r="19" spans="1:3" x14ac:dyDescent="0.25">
      <c r="A19" s="1"/>
      <c r="B19" t="s">
        <v>8</v>
      </c>
      <c r="C19">
        <f>SUM(G3:G13)</f>
        <v>7.4056864555628529E-2</v>
      </c>
    </row>
    <row r="20" spans="1:3" x14ac:dyDescent="0.25">
      <c r="A20" s="1" t="s">
        <v>4</v>
      </c>
      <c r="B20" t="s">
        <v>18</v>
      </c>
      <c r="C20">
        <v>125</v>
      </c>
    </row>
    <row r="21" spans="1:3" x14ac:dyDescent="0.25">
      <c r="A21" s="1"/>
      <c r="B21" t="s">
        <v>19</v>
      </c>
      <c r="C21">
        <v>-200</v>
      </c>
    </row>
    <row r="22" spans="1:3" x14ac:dyDescent="0.25">
      <c r="A22" s="1"/>
      <c r="B22" t="s">
        <v>21</v>
      </c>
      <c r="C22">
        <v>125</v>
      </c>
    </row>
    <row r="23" spans="1:3" x14ac:dyDescent="0.25">
      <c r="A23" s="1"/>
      <c r="B23" t="s">
        <v>8</v>
      </c>
      <c r="C23">
        <f>SUM(J3:J13)</f>
        <v>31581.458175578504</v>
      </c>
    </row>
    <row r="24" spans="1:3" x14ac:dyDescent="0.25">
      <c r="A24" s="1" t="s">
        <v>5</v>
      </c>
      <c r="B24" t="s">
        <v>13</v>
      </c>
      <c r="C24">
        <v>0</v>
      </c>
    </row>
    <row r="25" spans="1:3" x14ac:dyDescent="0.25">
      <c r="A25" s="1"/>
      <c r="B25" t="s">
        <v>14</v>
      </c>
      <c r="C25">
        <v>0</v>
      </c>
    </row>
    <row r="26" spans="1:3" x14ac:dyDescent="0.25">
      <c r="A26" s="1"/>
      <c r="B26" t="s">
        <v>10</v>
      </c>
      <c r="C26">
        <v>10</v>
      </c>
    </row>
    <row r="27" spans="1:3" x14ac:dyDescent="0.25">
      <c r="A27" s="1"/>
      <c r="B27" t="s">
        <v>8</v>
      </c>
      <c r="C27">
        <f>SUM(M3:M13)</f>
        <v>26.843609579999999</v>
      </c>
    </row>
    <row r="28" spans="1:3" x14ac:dyDescent="0.25">
      <c r="A28" s="1" t="s">
        <v>6</v>
      </c>
      <c r="B28" t="s">
        <v>24</v>
      </c>
      <c r="C28">
        <v>-10</v>
      </c>
    </row>
    <row r="29" spans="1:3" x14ac:dyDescent="0.25">
      <c r="B29" t="s">
        <v>25</v>
      </c>
      <c r="C29">
        <v>-15</v>
      </c>
    </row>
    <row r="30" spans="1:3" x14ac:dyDescent="0.25">
      <c r="B30" t="s">
        <v>26</v>
      </c>
      <c r="C30">
        <v>-20</v>
      </c>
    </row>
    <row r="31" spans="1:3" x14ac:dyDescent="0.25">
      <c r="B31" t="s">
        <v>7</v>
      </c>
      <c r="C31">
        <v>10</v>
      </c>
    </row>
    <row r="32" spans="1:3" x14ac:dyDescent="0.25">
      <c r="B32" t="s">
        <v>8</v>
      </c>
      <c r="C32">
        <f>SUM(P3:P13)</f>
        <v>919.20397687320394</v>
      </c>
    </row>
  </sheetData>
  <mergeCells count="1">
    <mergeCell ref="C1:D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6"/>
  <sheetViews>
    <sheetView workbookViewId="0">
      <selection activeCell="I5" sqref="I5"/>
    </sheetView>
  </sheetViews>
  <sheetFormatPr defaultRowHeight="15" x14ac:dyDescent="0.25"/>
  <cols>
    <col min="2" max="2" width="10.28515625" bestFit="1" customWidth="1"/>
    <col min="3" max="3" width="10.7109375" bestFit="1" customWidth="1"/>
    <col min="4" max="4" width="13.28515625" bestFit="1" customWidth="1"/>
    <col min="5" max="5" width="14.7109375" bestFit="1" customWidth="1"/>
  </cols>
  <sheetData>
    <row r="1" spans="1:5" x14ac:dyDescent="0.25">
      <c r="A1" s="1" t="s">
        <v>40</v>
      </c>
      <c r="B1" s="1" t="s">
        <v>38</v>
      </c>
      <c r="C1" s="1" t="s">
        <v>39</v>
      </c>
      <c r="D1" s="1" t="s">
        <v>41</v>
      </c>
      <c r="E1" s="1" t="s">
        <v>42</v>
      </c>
    </row>
    <row r="2" spans="1:5" x14ac:dyDescent="0.25">
      <c r="A2" t="s">
        <v>28</v>
      </c>
      <c r="B2">
        <v>55</v>
      </c>
      <c r="C2">
        <v>0.36</v>
      </c>
      <c r="D2">
        <f>B2/C2</f>
        <v>152.77777777777777</v>
      </c>
      <c r="E2">
        <f>CONVERT(D2,"psi","Pa")/1000000</f>
        <v>1.0533656975673886</v>
      </c>
    </row>
    <row r="3" spans="1:5" x14ac:dyDescent="0.25">
      <c r="A3" t="s">
        <v>9</v>
      </c>
      <c r="B3">
        <v>5</v>
      </c>
      <c r="C3">
        <v>0.57999999999999996</v>
      </c>
      <c r="D3">
        <f t="shared" ref="D3:D12" si="0">B3/C3</f>
        <v>8.6206896551724146</v>
      </c>
      <c r="E3">
        <f t="shared" ref="E3:E12" si="1">CONVERT(D3,"psi","Pa")/1000000</f>
        <v>5.9437562872141053E-2</v>
      </c>
    </row>
    <row r="4" spans="1:5" x14ac:dyDescent="0.25">
      <c r="A4" t="s">
        <v>29</v>
      </c>
      <c r="B4">
        <v>5</v>
      </c>
      <c r="C4">
        <v>0.86</v>
      </c>
      <c r="D4">
        <f t="shared" si="0"/>
        <v>5.8139534883720927</v>
      </c>
      <c r="E4">
        <f t="shared" si="1"/>
        <v>4.008579821609512E-2</v>
      </c>
    </row>
    <row r="5" spans="1:5" x14ac:dyDescent="0.25">
      <c r="A5" t="s">
        <v>30</v>
      </c>
      <c r="B5">
        <v>56</v>
      </c>
      <c r="C5">
        <v>1.02</v>
      </c>
      <c r="D5">
        <f t="shared" si="0"/>
        <v>54.901960784313722</v>
      </c>
      <c r="E5">
        <f t="shared" si="1"/>
        <v>0.3785356945268904</v>
      </c>
    </row>
    <row r="6" spans="1:5" x14ac:dyDescent="0.25">
      <c r="A6" t="s">
        <v>31</v>
      </c>
      <c r="B6">
        <v>78</v>
      </c>
      <c r="C6">
        <v>0.59</v>
      </c>
      <c r="D6">
        <f t="shared" si="0"/>
        <v>132.20338983050848</v>
      </c>
      <c r="E6">
        <f t="shared" si="1"/>
        <v>0.91151028621547847</v>
      </c>
    </row>
    <row r="7" spans="1:5" x14ac:dyDescent="0.25">
      <c r="A7" t="s">
        <v>32</v>
      </c>
      <c r="B7">
        <v>72</v>
      </c>
      <c r="C7">
        <v>0.64</v>
      </c>
      <c r="D7">
        <f t="shared" si="0"/>
        <v>112.5</v>
      </c>
      <c r="E7">
        <f t="shared" si="1"/>
        <v>0.77566019548144061</v>
      </c>
    </row>
    <row r="8" spans="1:5" x14ac:dyDescent="0.25">
      <c r="A8" t="s">
        <v>33</v>
      </c>
      <c r="B8">
        <v>24</v>
      </c>
      <c r="C8">
        <v>0.52</v>
      </c>
      <c r="D8">
        <f t="shared" si="0"/>
        <v>46.153846153846153</v>
      </c>
      <c r="E8">
        <f t="shared" si="1"/>
        <v>0.3182195673770013</v>
      </c>
    </row>
    <row r="9" spans="1:5" x14ac:dyDescent="0.25">
      <c r="A9" t="s">
        <v>34</v>
      </c>
      <c r="B9">
        <v>8</v>
      </c>
      <c r="C9">
        <v>0.12</v>
      </c>
      <c r="D9">
        <f t="shared" si="0"/>
        <v>66.666666666666671</v>
      </c>
      <c r="E9">
        <f t="shared" si="1"/>
        <v>0.45965048621122417</v>
      </c>
    </row>
    <row r="10" spans="1:5" x14ac:dyDescent="0.25">
      <c r="A10" t="s">
        <v>35</v>
      </c>
      <c r="B10">
        <v>22</v>
      </c>
      <c r="C10">
        <v>0.56000000000000005</v>
      </c>
      <c r="D10">
        <f t="shared" si="0"/>
        <v>39.285714285714285</v>
      </c>
      <c r="E10">
        <f t="shared" si="1"/>
        <v>0.27086546508875703</v>
      </c>
    </row>
    <row r="11" spans="1:5" x14ac:dyDescent="0.25">
      <c r="A11" t="s">
        <v>36</v>
      </c>
      <c r="B11">
        <v>4</v>
      </c>
      <c r="C11">
        <v>0.24</v>
      </c>
      <c r="D11">
        <f t="shared" si="0"/>
        <v>16.666666666666668</v>
      </c>
      <c r="E11">
        <f t="shared" si="1"/>
        <v>0.11491262155280604</v>
      </c>
    </row>
    <row r="12" spans="1:5" x14ac:dyDescent="0.25">
      <c r="A12" t="s">
        <v>37</v>
      </c>
      <c r="B12">
        <v>36</v>
      </c>
      <c r="C12">
        <v>0.89</v>
      </c>
      <c r="D12">
        <f t="shared" si="0"/>
        <v>40.449438202247194</v>
      </c>
      <c r="E12">
        <f t="shared" si="1"/>
        <v>0.27888905904950678</v>
      </c>
    </row>
    <row r="15" spans="1:5" x14ac:dyDescent="0.25">
      <c r="C15" t="s">
        <v>43</v>
      </c>
      <c r="E15" t="s">
        <v>45</v>
      </c>
    </row>
    <row r="16" spans="1:5" x14ac:dyDescent="0.25">
      <c r="C16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35204-FF3F-48E3-9712-82EC939F7AA7}">
  <sheetPr codeName="Sheet3"/>
  <dimension ref="J3:K4"/>
  <sheetViews>
    <sheetView tabSelected="1" workbookViewId="0">
      <selection activeCell="J5" sqref="J5"/>
    </sheetView>
  </sheetViews>
  <sheetFormatPr defaultRowHeight="15" x14ac:dyDescent="0.25"/>
  <cols>
    <col min="10" max="10" width="21.85546875" bestFit="1" customWidth="1"/>
    <col min="11" max="11" width="13.7109375" bestFit="1" customWidth="1"/>
  </cols>
  <sheetData>
    <row r="3" spans="10:11" x14ac:dyDescent="0.25">
      <c r="J3" t="s">
        <v>46</v>
      </c>
      <c r="K3" t="s">
        <v>47</v>
      </c>
    </row>
    <row r="4" spans="10:11" x14ac:dyDescent="0.25">
      <c r="J4">
        <v>2</v>
      </c>
      <c r="K4">
        <f>sumofcubes(J4)</f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Part 1</vt:lpstr>
      <vt:lpstr>Part 2</vt:lpstr>
      <vt:lpstr>Part 3</vt:lpstr>
      <vt:lpstr>Part 1 Plot</vt:lpstr>
    </vt:vector>
  </TitlesOfParts>
  <Company>ITlabs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berg1786</dc:creator>
  <cp:lastModifiedBy>Student</cp:lastModifiedBy>
  <cp:lastPrinted>2010-10-01T14:54:38Z</cp:lastPrinted>
  <dcterms:created xsi:type="dcterms:W3CDTF">2010-09-29T19:05:48Z</dcterms:created>
  <dcterms:modified xsi:type="dcterms:W3CDTF">2019-04-14T22:40:19Z</dcterms:modified>
</cp:coreProperties>
</file>